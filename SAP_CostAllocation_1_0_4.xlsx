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T:\Shares\Excel-AddIn\SapCoExcelAddin\Excel-Templates_1_0_4\"/>
    </mc:Choice>
  </mc:AlternateContent>
  <xr:revisionPtr revIDLastSave="0" documentId="13_ncr:1_{E196FB87-8724-4F6D-9289-15A877C18AE7}" xr6:coauthVersionLast="47" xr6:coauthVersionMax="47" xr10:uidLastSave="{00000000-0000-0000-0000-000000000000}"/>
  <bookViews>
    <workbookView xWindow="-120" yWindow="-120" windowWidth="29040" windowHeight="15900" tabRatio="359" activeTab="1" xr2:uid="{00000000-000D-0000-FFFF-FFFF00000000}"/>
  </bookViews>
  <sheets>
    <sheet name="Parameter" sheetId="3" r:id="rId1"/>
    <sheet name="Data" sheetId="4" r:id="rId2"/>
    <sheet name="Parameter_Int" sheetId="7" r:id="rId3"/>
    <sheet name="SAP-Con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U7" i="4" s="1"/>
  <c r="B7" i="4"/>
  <c r="B6" i="4"/>
  <c r="U6" i="4" s="1"/>
  <c r="B5" i="4"/>
  <c r="U5" i="4" s="1"/>
  <c r="U8" i="4" l="1"/>
</calcChain>
</file>

<file path=xl/sharedStrings.xml><?xml version="1.0" encoding="utf-8"?>
<sst xmlns="http://schemas.openxmlformats.org/spreadsheetml/2006/main" count="162" uniqueCount="133">
  <si>
    <t>Controlling Area</t>
  </si>
  <si>
    <t>Value</t>
  </si>
  <si>
    <t>Posting Date</t>
  </si>
  <si>
    <t>Docum.Date</t>
  </si>
  <si>
    <t>SAP-Message</t>
  </si>
  <si>
    <t>PersonNr</t>
  </si>
  <si>
    <t>Rec. Order</t>
  </si>
  <si>
    <t>Rec. WBS-Element</t>
  </si>
  <si>
    <t>Rec. Network</t>
  </si>
  <si>
    <t>Rec. Cost Center</t>
  </si>
  <si>
    <t>Order</t>
  </si>
  <si>
    <t>WBS-Element</t>
  </si>
  <si>
    <t>Network</t>
  </si>
  <si>
    <t>Trans Curr</t>
  </si>
  <si>
    <t>Rec. FuncArea</t>
  </si>
  <si>
    <t>Test</t>
  </si>
  <si>
    <t>Netw. Activity</t>
  </si>
  <si>
    <t>Funct. Area</t>
  </si>
  <si>
    <t>Cost Element</t>
  </si>
  <si>
    <t>Rec Netw. Activity</t>
  </si>
  <si>
    <t>SAP-Connection</t>
  </si>
  <si>
    <t>Name</t>
  </si>
  <si>
    <t>Trace</t>
  </si>
  <si>
    <t>Client</t>
  </si>
  <si>
    <t>Language</t>
  </si>
  <si>
    <t>Version</t>
  </si>
  <si>
    <t>From Version</t>
  </si>
  <si>
    <t>To Version</t>
  </si>
  <si>
    <t>MSF GTP</t>
  </si>
  <si>
    <t>MSF GTM</t>
  </si>
  <si>
    <t>AppServerHost</t>
  </si>
  <si>
    <t>172.27.6.23</t>
  </si>
  <si>
    <t>172.27.6.32</t>
  </si>
  <si>
    <t>SystemNumber</t>
  </si>
  <si>
    <t>50</t>
  </si>
  <si>
    <t>55</t>
  </si>
  <si>
    <t>SystemID</t>
  </si>
  <si>
    <t>GTP</t>
  </si>
  <si>
    <t>GTM</t>
  </si>
  <si>
    <t>MessageServerHost</t>
  </si>
  <si>
    <t>LogonGroup</t>
  </si>
  <si>
    <t>060</t>
  </si>
  <si>
    <t>DE</t>
  </si>
  <si>
    <t>SncMode</t>
  </si>
  <si>
    <t>SncPartnerName</t>
  </si>
  <si>
    <t>CostCenter</t>
  </si>
  <si>
    <t>Text</t>
  </si>
  <si>
    <t>EUR</t>
  </si>
  <si>
    <t>MSF GTI</t>
  </si>
  <si>
    <t>172.27.6.73</t>
  </si>
  <si>
    <t>51</t>
  </si>
  <si>
    <t>GTI</t>
  </si>
  <si>
    <t>SAPAcctngManCostAlloc</t>
  </si>
  <si>
    <t>1.0.4.0</t>
  </si>
  <si>
    <t>1.0.4.9</t>
  </si>
  <si>
    <t>Description</t>
  </si>
  <si>
    <t>Paramter-Key</t>
  </si>
  <si>
    <t>Default Values</t>
  </si>
  <si>
    <t>4</t>
  </si>
  <si>
    <t>DefaultValue = 4</t>
  </si>
  <si>
    <t>0</t>
  </si>
  <si>
    <t>DefaultValue = PC_LOFF-DATA - 4</t>
  </si>
  <si>
    <t>Data</t>
  </si>
  <si>
    <t>DefaultValue = Data</t>
  </si>
  <si>
    <t>INT-MSG</t>
  </si>
  <si>
    <t>DefaultValue = INT-MSG</t>
  </si>
  <si>
    <t>INT-POST</t>
  </si>
  <si>
    <t>DefaultValue = INT-POST</t>
  </si>
  <si>
    <t>1</t>
  </si>
  <si>
    <t>DefaultValue = 1</t>
  </si>
  <si>
    <t>Dbg-Dump</t>
  </si>
  <si>
    <t xml:space="preserve">DefaultValue = </t>
  </si>
  <si>
    <t>DefaultValue = 0</t>
  </si>
  <si>
    <t>OK</t>
  </si>
  <si>
    <t>DefaultValue = OK</t>
  </si>
  <si>
    <t>Cost Allocation: Line-Offset in Data</t>
  </si>
  <si>
    <t>Cost Allocation: Line-Offset of the Header in Data</t>
  </si>
  <si>
    <t>Cost Allocation: Sheet-Data</t>
  </si>
  <si>
    <t>Cost Allocation: Column Key - Message</t>
  </si>
  <si>
    <t>Cost Allocation: Column Number to check End of List</t>
  </si>
  <si>
    <t>Cost Allocation: Debug - Sheet to dump Data</t>
  </si>
  <si>
    <t>Cost Allocation: Debug - Object Nr</t>
  </si>
  <si>
    <t>Cost Allocation: OK Message</t>
  </si>
  <si>
    <t>CA_LOFF-DATA</t>
  </si>
  <si>
    <t>CA_LOFF-HEAD</t>
  </si>
  <si>
    <t>CA_WS-DATA</t>
  </si>
  <si>
    <t>CA_COL-DATAMSG</t>
  </si>
  <si>
    <t>CA_COL-DATAPOST</t>
  </si>
  <si>
    <t>CA_COLNR-DATACHECK</t>
  </si>
  <si>
    <t>CA_DBG-DUMPDATA</t>
  </si>
  <si>
    <t>CA_DBG-DUMPOBJNR</t>
  </si>
  <si>
    <t>CA_RET-OKMSG</t>
  </si>
  <si>
    <t>Format</t>
  </si>
  <si>
    <t>Obligatory</t>
  </si>
  <si>
    <t>DOC_HEADER-CO_AREA</t>
  </si>
  <si>
    <t>U4</t>
  </si>
  <si>
    <t>Yes</t>
  </si>
  <si>
    <t>Ignore Warnings</t>
  </si>
  <si>
    <t>IGNORE_WARNINGS</t>
  </si>
  <si>
    <t>X</t>
  </si>
  <si>
    <t>No</t>
  </si>
  <si>
    <t>DOC_HEADER-POSTGDATE</t>
  </si>
  <si>
    <t>DOC_HEADER-DOCDATE</t>
  </si>
  <si>
    <t>DOC_HEADER-DOC_HDR_TX</t>
  </si>
  <si>
    <t>DOC_ITEMS-SEND_CCTR</t>
  </si>
  <si>
    <t>DOC_ITEMS-SEN_ORDER</t>
  </si>
  <si>
    <t>DOC_ITEMS-SEN_WBS_EL</t>
  </si>
  <si>
    <t>DOC_ITEMS-SEN_NETWRK</t>
  </si>
  <si>
    <t>DOC_ITEMS-SENOPERATN</t>
  </si>
  <si>
    <t>DOC_ITEMS-SEND_FUNCTION</t>
  </si>
  <si>
    <t>DOC_ITEMS-PERSON_NO</t>
  </si>
  <si>
    <t>DOC_ITEMS-COST_ELEM</t>
  </si>
  <si>
    <t>DOC_ITEMS-VALUE_TCUR</t>
  </si>
  <si>
    <t>DOC_ITEMS-SEG_TEXT</t>
  </si>
  <si>
    <t>DOC_ITEMS-REC_CCTR</t>
  </si>
  <si>
    <t>DOC_ITEMS-REC_ORDER</t>
  </si>
  <si>
    <t>DOC_ITEMS-REC_WBS_EL</t>
  </si>
  <si>
    <t>DOC_ITEMS-REC_NETWRK</t>
  </si>
  <si>
    <t>DOC_ITEMS-RECOPERATN</t>
  </si>
  <si>
    <t>DOC_ITEMS-REC_FUNCTION</t>
  </si>
  <si>
    <t>DOC_ITEMS-TRANS_CURR</t>
  </si>
  <si>
    <t>DATE</t>
  </si>
  <si>
    <t>U10</t>
  </si>
  <si>
    <t>U12</t>
  </si>
  <si>
    <t>U8</t>
  </si>
  <si>
    <t>D2</t>
  </si>
  <si>
    <t>Header Text</t>
  </si>
  <si>
    <t>Post Indicator</t>
  </si>
  <si>
    <t>HD A</t>
  </si>
  <si>
    <t>HD B</t>
  </si>
  <si>
    <t>0200</t>
  </si>
  <si>
    <t>OK;Beleg wird unter der Nummer 0110031758 gebucht</t>
  </si>
  <si>
    <t>OK;Beleg wird unter der Nummer 0110031759 gebucht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</si>
</sst>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€]\ * #,##0.00_-;\-[$€]\ * #,##0.00_-;_-[$€]\ * \-??_-;_-@_-"/>
    <numFmt numFmtId="165" formatCode="dd/mm/yyyy;@"/>
    <numFmt numFmtId="166" formatCode="#,##0.000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Alignment="0" applyProtection="0"/>
    <xf numFmtId="0" fontId="1" fillId="0" borderId="0"/>
    <xf numFmtId="0" fontId="1" fillId="0" borderId="0"/>
  </cellStyleXfs>
  <cellXfs count="58"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1" fillId="0" borderId="0" xfId="2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5" xfId="0" applyBorder="1"/>
    <xf numFmtId="0" fontId="0" fillId="0" borderId="5" xfId="0" quotePrefix="1" applyBorder="1"/>
    <xf numFmtId="0" fontId="1" fillId="0" borderId="5" xfId="0" quotePrefix="1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8" xfId="0" applyFont="1" applyBorder="1"/>
    <xf numFmtId="0" fontId="1" fillId="0" borderId="9" xfId="0" applyFont="1" applyBorder="1"/>
    <xf numFmtId="165" fontId="2" fillId="0" borderId="1" xfId="0" applyNumberFormat="1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right" wrapText="1"/>
    </xf>
    <xf numFmtId="0" fontId="1" fillId="2" borderId="10" xfId="3" applyFill="1" applyBorder="1"/>
    <xf numFmtId="0" fontId="1" fillId="2" borderId="11" xfId="3" applyFill="1" applyBorder="1"/>
    <xf numFmtId="49" fontId="1" fillId="2" borderId="11" xfId="3" applyNumberFormat="1" applyFill="1" applyBorder="1" applyAlignment="1">
      <alignment horizontal="right"/>
    </xf>
    <xf numFmtId="0" fontId="1" fillId="2" borderId="12" xfId="3" applyFill="1" applyBorder="1"/>
    <xf numFmtId="0" fontId="1" fillId="0" borderId="0" xfId="3"/>
    <xf numFmtId="0" fontId="1" fillId="0" borderId="13" xfId="3" applyBorder="1"/>
    <xf numFmtId="0" fontId="1" fillId="0" borderId="14" xfId="3" applyBorder="1"/>
    <xf numFmtId="49" fontId="1" fillId="0" borderId="14" xfId="3" quotePrefix="1" applyNumberFormat="1" applyBorder="1" applyAlignment="1">
      <alignment horizontal="right"/>
    </xf>
    <xf numFmtId="0" fontId="1" fillId="0" borderId="15" xfId="3" applyBorder="1"/>
    <xf numFmtId="0" fontId="1" fillId="0" borderId="16" xfId="3" applyBorder="1"/>
    <xf numFmtId="49" fontId="1" fillId="0" borderId="0" xfId="3" quotePrefix="1" applyNumberFormat="1" applyAlignment="1">
      <alignment horizontal="right"/>
    </xf>
    <xf numFmtId="0" fontId="1" fillId="0" borderId="17" xfId="3" applyBorder="1"/>
    <xf numFmtId="49" fontId="1" fillId="0" borderId="0" xfId="3" applyNumberFormat="1" applyAlignment="1">
      <alignment horizontal="right"/>
    </xf>
    <xf numFmtId="0" fontId="1" fillId="0" borderId="18" xfId="3" applyBorder="1"/>
    <xf numFmtId="0" fontId="1" fillId="0" borderId="1" xfId="3" applyBorder="1"/>
    <xf numFmtId="49" fontId="1" fillId="0" borderId="1" xfId="3" applyNumberFormat="1" applyBorder="1" applyAlignment="1">
      <alignment horizontal="right"/>
    </xf>
    <xf numFmtId="0" fontId="1" fillId="0" borderId="19" xfId="3" applyBorder="1"/>
    <xf numFmtId="0" fontId="1" fillId="2" borderId="20" xfId="0" applyFont="1" applyFill="1" applyBorder="1"/>
    <xf numFmtId="0" fontId="1" fillId="2" borderId="21" xfId="0" applyFont="1" applyFill="1" applyBorder="1"/>
    <xf numFmtId="0" fontId="1" fillId="0" borderId="22" xfId="0" applyFont="1" applyBorder="1"/>
    <xf numFmtId="0" fontId="1" fillId="0" borderId="22" xfId="0" quotePrefix="1" applyFont="1" applyBorder="1"/>
    <xf numFmtId="0" fontId="1" fillId="0" borderId="23" xfId="0" applyFont="1" applyBorder="1"/>
    <xf numFmtId="0" fontId="1" fillId="0" borderId="23" xfId="0" quotePrefix="1" applyFont="1" applyBorder="1"/>
    <xf numFmtId="0" fontId="0" fillId="0" borderId="0" xfId="0" applyAlignment="1">
      <alignment horizontal="left" textRotation="90"/>
    </xf>
    <xf numFmtId="0" fontId="1" fillId="0" borderId="0" xfId="0" applyFont="1" applyAlignment="1">
      <alignment horizontal="left" textRotation="90"/>
    </xf>
    <xf numFmtId="166" fontId="1" fillId="0" borderId="0" xfId="0" applyNumberFormat="1" applyFont="1" applyAlignment="1">
      <alignment horizontal="left"/>
    </xf>
    <xf numFmtId="165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left" vertical="center"/>
    </xf>
  </cellXfs>
  <cellStyles count="4">
    <cellStyle name="Euro" xfId="1" xr:uid="{00000000-0005-0000-0000-000000000000}"/>
    <cellStyle name="Normal" xfId="0" builtinId="0"/>
    <cellStyle name="Normal 2" xfId="2" xr:uid="{00000000-0005-0000-0000-000002000000}"/>
    <cellStyle name="Normal 2 2" xfId="3" xr:uid="{17695503-1E8A-4480-BC36-1C3B7728F52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3"/>
  <dimension ref="A1:E3"/>
  <sheetViews>
    <sheetView workbookViewId="0">
      <selection activeCell="E29" sqref="E29"/>
    </sheetView>
  </sheetViews>
  <sheetFormatPr defaultColWidth="11" defaultRowHeight="12.75" outlineLevelCol="1" x14ac:dyDescent="0.2"/>
  <cols>
    <col min="1" max="1" width="24.7109375" bestFit="1" customWidth="1"/>
    <col min="2" max="2" width="29.85546875" hidden="1" customWidth="1" outlineLevel="1"/>
    <col min="3" max="3" width="6.85546875" hidden="1" customWidth="1" outlineLevel="1"/>
    <col min="4" max="4" width="15.28515625" customWidth="1" collapsed="1"/>
    <col min="5" max="5" width="11.85546875" customWidth="1"/>
  </cols>
  <sheetData>
    <row r="1" spans="1:5" ht="13.5" thickBot="1" x14ac:dyDescent="0.25">
      <c r="A1" s="46" t="s">
        <v>52</v>
      </c>
      <c r="B1" s="30" t="s">
        <v>56</v>
      </c>
      <c r="C1" s="30" t="s">
        <v>92</v>
      </c>
      <c r="D1" s="30" t="s">
        <v>1</v>
      </c>
      <c r="E1" s="47" t="s">
        <v>93</v>
      </c>
    </row>
    <row r="2" spans="1:5" x14ac:dyDescent="0.2">
      <c r="A2" s="25" t="s">
        <v>0</v>
      </c>
      <c r="B2" s="48" t="s">
        <v>94</v>
      </c>
      <c r="C2" s="48" t="s">
        <v>95</v>
      </c>
      <c r="D2" s="49" t="s">
        <v>130</v>
      </c>
      <c r="E2" s="26" t="s">
        <v>96</v>
      </c>
    </row>
    <row r="3" spans="1:5" ht="13.5" thickBot="1" x14ac:dyDescent="0.25">
      <c r="A3" s="21" t="s">
        <v>97</v>
      </c>
      <c r="B3" s="50" t="s">
        <v>98</v>
      </c>
      <c r="C3" s="50"/>
      <c r="D3" s="51" t="s">
        <v>99</v>
      </c>
      <c r="E3" s="22" t="s">
        <v>100</v>
      </c>
    </row>
  </sheetData>
  <phoneticPr fontId="0" type="noConversion"/>
  <pageMargins left="0.78749999999999998" right="0.78749999999999998" top="0.78749999999999998" bottom="0.78749999999999998" header="0.49236111111111114" footer="0.49236111111111114"/>
  <pageSetup paperSize="9" firstPageNumber="0" fitToHeight="0" orientation="portrait" horizontalDpi="300" verticalDpi="300"/>
  <headerFooter alignWithMargins="0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W8"/>
  <sheetViews>
    <sheetView tabSelected="1" topLeftCell="A4" workbookViewId="0">
      <selection activeCell="C1" sqref="C1"/>
    </sheetView>
  </sheetViews>
  <sheetFormatPr defaultColWidth="10.5703125" defaultRowHeight="12.75" outlineLevelRow="1" x14ac:dyDescent="0.2"/>
  <cols>
    <col min="1" max="1" width="12.42578125" style="4" bestFit="1" customWidth="1"/>
    <col min="2" max="2" width="12" style="4" bestFit="1" customWidth="1"/>
    <col min="3" max="3" width="12" style="4" customWidth="1"/>
    <col min="4" max="5" width="6.140625" style="3" bestFit="1" customWidth="1"/>
    <col min="6" max="6" width="6" style="3" bestFit="1" customWidth="1"/>
    <col min="7" max="7" width="8.42578125" style="3" bestFit="1" customWidth="1"/>
    <col min="8" max="8" width="9" style="5" customWidth="1"/>
    <col min="9" max="9" width="6.42578125" style="3" customWidth="1"/>
    <col min="10" max="10" width="6.140625" style="3" bestFit="1" customWidth="1"/>
    <col min="11" max="11" width="9" style="3" bestFit="1" customWidth="1"/>
    <col min="12" max="12" width="9.5703125" style="3" bestFit="1" customWidth="1"/>
    <col min="13" max="13" width="8" style="7" bestFit="1" customWidth="1"/>
    <col min="14" max="14" width="9.42578125" style="3" bestFit="1" customWidth="1"/>
    <col min="15" max="15" width="6.140625" style="3" bestFit="1" customWidth="1"/>
    <col min="16" max="16" width="6" style="3" bestFit="1" customWidth="1"/>
    <col min="17" max="17" width="8.42578125" style="2" bestFit="1" customWidth="1"/>
    <col min="18" max="18" width="7.7109375" style="2" bestFit="1" customWidth="1"/>
    <col min="19" max="19" width="10.5703125" style="2" customWidth="1"/>
    <col min="20" max="20" width="10.42578125" style="2" bestFit="1" customWidth="1"/>
    <col min="21" max="21" width="9.7109375" style="8" customWidth="1"/>
    <col min="22" max="22" width="27.28515625" style="8" customWidth="1"/>
    <col min="23" max="16384" width="10.5703125" style="2"/>
  </cols>
  <sheetData>
    <row r="1" spans="1:23" s="8" customFormat="1" ht="147" hidden="1" outlineLevel="1" x14ac:dyDescent="0.2">
      <c r="A1" s="52" t="s">
        <v>101</v>
      </c>
      <c r="B1" s="53" t="s">
        <v>102</v>
      </c>
      <c r="C1" s="53" t="s">
        <v>103</v>
      </c>
      <c r="D1" s="52" t="s">
        <v>104</v>
      </c>
      <c r="E1" s="53" t="s">
        <v>105</v>
      </c>
      <c r="F1" s="53" t="s">
        <v>106</v>
      </c>
      <c r="G1" s="53" t="s">
        <v>107</v>
      </c>
      <c r="H1" s="53" t="s">
        <v>108</v>
      </c>
      <c r="I1" s="53" t="s">
        <v>109</v>
      </c>
      <c r="J1" s="53" t="s">
        <v>110</v>
      </c>
      <c r="K1" s="53" t="s">
        <v>111</v>
      </c>
      <c r="L1" s="53" t="s">
        <v>112</v>
      </c>
      <c r="M1" s="53" t="s">
        <v>113</v>
      </c>
      <c r="N1" s="53" t="s">
        <v>114</v>
      </c>
      <c r="O1" s="53" t="s">
        <v>115</v>
      </c>
      <c r="P1" s="53" t="s">
        <v>116</v>
      </c>
      <c r="Q1" s="53" t="s">
        <v>117</v>
      </c>
      <c r="R1" s="53" t="s">
        <v>118</v>
      </c>
      <c r="S1" s="53" t="s">
        <v>119</v>
      </c>
      <c r="T1" s="53" t="s">
        <v>120</v>
      </c>
      <c r="U1" s="52" t="s">
        <v>66</v>
      </c>
      <c r="V1" s="52" t="s">
        <v>64</v>
      </c>
    </row>
    <row r="2" spans="1:23" hidden="1" outlineLevel="1" x14ac:dyDescent="0.2">
      <c r="U2" s="3"/>
      <c r="V2" s="3"/>
      <c r="W2" s="3"/>
    </row>
    <row r="3" spans="1:23" hidden="1" outlineLevel="1" x14ac:dyDescent="0.2">
      <c r="A3" s="6" t="s">
        <v>121</v>
      </c>
      <c r="B3" s="6" t="s">
        <v>121</v>
      </c>
      <c r="C3" s="6"/>
      <c r="D3" s="6" t="s">
        <v>122</v>
      </c>
      <c r="E3" s="6" t="s">
        <v>123</v>
      </c>
      <c r="G3" s="54" t="s">
        <v>123</v>
      </c>
      <c r="H3" s="6" t="s">
        <v>95</v>
      </c>
      <c r="J3" s="6" t="s">
        <v>124</v>
      </c>
      <c r="K3" s="6" t="s">
        <v>122</v>
      </c>
      <c r="L3" s="1" t="s">
        <v>125</v>
      </c>
      <c r="M3" s="3"/>
      <c r="N3" s="6" t="s">
        <v>122</v>
      </c>
      <c r="O3" s="6" t="s">
        <v>123</v>
      </c>
      <c r="P3" s="2"/>
      <c r="Q3" s="6" t="s">
        <v>123</v>
      </c>
      <c r="R3" s="6" t="s">
        <v>95</v>
      </c>
      <c r="U3" s="3"/>
      <c r="V3" s="6"/>
    </row>
    <row r="4" spans="1:23" s="11" customFormat="1" ht="51.75" collapsed="1" thickBot="1" x14ac:dyDescent="0.25">
      <c r="A4" s="27" t="s">
        <v>2</v>
      </c>
      <c r="B4" s="27" t="s">
        <v>3</v>
      </c>
      <c r="C4" s="55" t="s">
        <v>126</v>
      </c>
      <c r="D4" s="9" t="s">
        <v>45</v>
      </c>
      <c r="E4" s="9" t="s">
        <v>10</v>
      </c>
      <c r="F4" s="9" t="s">
        <v>11</v>
      </c>
      <c r="G4" s="28" t="s">
        <v>12</v>
      </c>
      <c r="H4" s="9" t="s">
        <v>16</v>
      </c>
      <c r="I4" s="9" t="s">
        <v>17</v>
      </c>
      <c r="J4" s="9" t="s">
        <v>5</v>
      </c>
      <c r="K4" s="9" t="s">
        <v>18</v>
      </c>
      <c r="L4" s="9" t="s">
        <v>1</v>
      </c>
      <c r="M4" s="9" t="s">
        <v>46</v>
      </c>
      <c r="N4" s="10" t="s">
        <v>9</v>
      </c>
      <c r="O4" s="9" t="s">
        <v>6</v>
      </c>
      <c r="P4" s="9" t="s">
        <v>7</v>
      </c>
      <c r="Q4" s="9" t="s">
        <v>8</v>
      </c>
      <c r="R4" s="9" t="s">
        <v>19</v>
      </c>
      <c r="S4" s="10" t="s">
        <v>14</v>
      </c>
      <c r="T4" s="10" t="s">
        <v>13</v>
      </c>
      <c r="U4" s="9" t="s">
        <v>127</v>
      </c>
      <c r="V4" s="56" t="s">
        <v>4</v>
      </c>
    </row>
    <row r="5" spans="1:23" x14ac:dyDescent="0.2">
      <c r="A5" s="4">
        <v>46022</v>
      </c>
      <c r="B5" s="4">
        <f>A5</f>
        <v>46022</v>
      </c>
      <c r="C5" s="4" t="s">
        <v>128</v>
      </c>
      <c r="D5" s="8">
        <v>1000</v>
      </c>
      <c r="K5" s="3">
        <v>46318100</v>
      </c>
      <c r="L5" s="7">
        <v>100</v>
      </c>
      <c r="M5" s="6" t="s">
        <v>15</v>
      </c>
      <c r="N5" s="8">
        <v>1082</v>
      </c>
      <c r="P5" s="2"/>
      <c r="T5" t="s">
        <v>47</v>
      </c>
      <c r="U5" s="57" t="str">
        <f>IF(OR($A5&lt;&gt;$A6,$B5&lt;&gt;$B6,$C5&lt;&gt;$C6),"X","")</f>
        <v/>
      </c>
      <c r="V5" s="2" t="s">
        <v>131</v>
      </c>
      <c r="W5" s="57"/>
    </row>
    <row r="6" spans="1:23" x14ac:dyDescent="0.2">
      <c r="A6" s="4">
        <v>46022</v>
      </c>
      <c r="B6" s="4">
        <f t="shared" ref="B6:B8" si="0">A6</f>
        <v>46022</v>
      </c>
      <c r="C6" s="4" t="s">
        <v>128</v>
      </c>
      <c r="D6" s="8">
        <v>1000</v>
      </c>
      <c r="K6" s="3">
        <v>46318100</v>
      </c>
      <c r="L6" s="7">
        <v>200</v>
      </c>
      <c r="M6" s="6" t="s">
        <v>15</v>
      </c>
      <c r="N6" s="8">
        <v>1082</v>
      </c>
      <c r="P6" s="2"/>
      <c r="T6" t="s">
        <v>47</v>
      </c>
      <c r="U6" s="57" t="str">
        <f t="shared" ref="U6:U8" si="1">IF(OR($A6&lt;&gt;$A7,$B6&lt;&gt;$B7,$C6&lt;&gt;$C7),"X","")</f>
        <v>X</v>
      </c>
      <c r="V6" s="2" t="s">
        <v>131</v>
      </c>
      <c r="W6" s="57"/>
    </row>
    <row r="7" spans="1:23" x14ac:dyDescent="0.2">
      <c r="A7" s="4">
        <v>46022</v>
      </c>
      <c r="B7" s="4">
        <f t="shared" si="0"/>
        <v>46022</v>
      </c>
      <c r="C7" s="4" t="s">
        <v>129</v>
      </c>
      <c r="D7" s="8">
        <v>1000</v>
      </c>
      <c r="K7" s="3">
        <v>46318100</v>
      </c>
      <c r="L7" s="7">
        <v>300</v>
      </c>
      <c r="M7" s="6" t="s">
        <v>15</v>
      </c>
      <c r="N7" s="8">
        <v>1082</v>
      </c>
      <c r="P7" s="2"/>
      <c r="T7" t="s">
        <v>47</v>
      </c>
      <c r="U7" s="57" t="str">
        <f t="shared" si="1"/>
        <v/>
      </c>
      <c r="V7" s="2" t="s">
        <v>132</v>
      </c>
      <c r="W7" s="57"/>
    </row>
    <row r="8" spans="1:23" x14ac:dyDescent="0.2">
      <c r="A8" s="4">
        <v>46022</v>
      </c>
      <c r="B8" s="4">
        <f t="shared" si="0"/>
        <v>46022</v>
      </c>
      <c r="C8" s="4" t="s">
        <v>129</v>
      </c>
      <c r="D8" s="8">
        <v>1000</v>
      </c>
      <c r="K8" s="3">
        <v>46318100</v>
      </c>
      <c r="L8" s="7">
        <v>400</v>
      </c>
      <c r="M8" s="6" t="s">
        <v>15</v>
      </c>
      <c r="N8" s="8">
        <v>1082</v>
      </c>
      <c r="P8" s="2"/>
      <c r="T8" t="s">
        <v>47</v>
      </c>
      <c r="U8" s="57" t="str">
        <f t="shared" si="1"/>
        <v>X</v>
      </c>
      <c r="V8" s="2" t="s">
        <v>132</v>
      </c>
      <c r="W8" s="57"/>
    </row>
  </sheetData>
  <phoneticPr fontId="0" type="noConversion"/>
  <pageMargins left="0.75" right="0.75" top="1" bottom="1" header="0.4921259845" footer="0.4921259845"/>
  <pageSetup paperSize="9" orientation="portrait" r:id="rId1"/>
  <headerFooter alignWithMargins="0"/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FC8C-5BD8-43BF-914A-BDAD528A70D7}">
  <sheetPr codeName="Sheet1"/>
  <dimension ref="A1:D10"/>
  <sheetViews>
    <sheetView zoomScaleNormal="100" workbookViewId="0">
      <pane ySplit="1" topLeftCell="A2" activePane="bottomLeft" state="frozen"/>
      <selection activeCell="J26" sqref="J26"/>
      <selection pane="bottomLeft" activeCell="B21" sqref="B21"/>
    </sheetView>
  </sheetViews>
  <sheetFormatPr defaultColWidth="11" defaultRowHeight="12.75" outlineLevelCol="1" x14ac:dyDescent="0.2"/>
  <cols>
    <col min="1" max="1" width="48.5703125" style="33" bestFit="1" customWidth="1"/>
    <col min="2" max="2" width="23.28515625" style="33" bestFit="1" customWidth="1" outlineLevel="1"/>
    <col min="3" max="3" width="21.85546875" style="41" customWidth="1"/>
    <col min="4" max="4" width="30.85546875" style="33" bestFit="1" customWidth="1"/>
    <col min="5" max="5" width="21.7109375" style="33" bestFit="1" customWidth="1"/>
    <col min="6" max="6" width="4.42578125" style="33" bestFit="1" customWidth="1"/>
    <col min="7" max="7" width="3.28515625" style="33" bestFit="1" customWidth="1"/>
    <col min="8" max="8" width="36.85546875" style="33" bestFit="1" customWidth="1"/>
    <col min="9" max="16384" width="11" style="33"/>
  </cols>
  <sheetData>
    <row r="1" spans="1:4" ht="13.5" thickBot="1" x14ac:dyDescent="0.25">
      <c r="A1" s="29" t="s">
        <v>55</v>
      </c>
      <c r="B1" s="30" t="s">
        <v>56</v>
      </c>
      <c r="C1" s="31" t="s">
        <v>1</v>
      </c>
      <c r="D1" s="32" t="s">
        <v>57</v>
      </c>
    </row>
    <row r="2" spans="1:4" x14ac:dyDescent="0.2">
      <c r="A2" s="34" t="s">
        <v>75</v>
      </c>
      <c r="B2" s="35" t="s">
        <v>83</v>
      </c>
      <c r="C2" s="36" t="s">
        <v>58</v>
      </c>
      <c r="D2" s="37" t="s">
        <v>59</v>
      </c>
    </row>
    <row r="3" spans="1:4" x14ac:dyDescent="0.2">
      <c r="A3" s="38" t="s">
        <v>76</v>
      </c>
      <c r="B3" s="33" t="s">
        <v>84</v>
      </c>
      <c r="C3" s="39" t="s">
        <v>60</v>
      </c>
      <c r="D3" s="40" t="s">
        <v>61</v>
      </c>
    </row>
    <row r="4" spans="1:4" x14ac:dyDescent="0.2">
      <c r="A4" s="38" t="s">
        <v>77</v>
      </c>
      <c r="B4" s="33" t="s">
        <v>85</v>
      </c>
      <c r="C4" s="41" t="s">
        <v>62</v>
      </c>
      <c r="D4" s="40" t="s">
        <v>63</v>
      </c>
    </row>
    <row r="5" spans="1:4" x14ac:dyDescent="0.2">
      <c r="A5" s="38" t="s">
        <v>78</v>
      </c>
      <c r="B5" s="33" t="s">
        <v>86</v>
      </c>
      <c r="C5" s="39" t="s">
        <v>64</v>
      </c>
      <c r="D5" s="40" t="s">
        <v>65</v>
      </c>
    </row>
    <row r="6" spans="1:4" x14ac:dyDescent="0.2">
      <c r="A6" s="38" t="s">
        <v>78</v>
      </c>
      <c r="B6" s="33" t="s">
        <v>87</v>
      </c>
      <c r="C6" s="39" t="s">
        <v>66</v>
      </c>
      <c r="D6" s="40" t="s">
        <v>67</v>
      </c>
    </row>
    <row r="7" spans="1:4" x14ac:dyDescent="0.2">
      <c r="A7" s="38" t="s">
        <v>79</v>
      </c>
      <c r="B7" s="33" t="s">
        <v>88</v>
      </c>
      <c r="C7" s="39" t="s">
        <v>68</v>
      </c>
      <c r="D7" s="40" t="s">
        <v>69</v>
      </c>
    </row>
    <row r="8" spans="1:4" x14ac:dyDescent="0.2">
      <c r="A8" s="38" t="s">
        <v>80</v>
      </c>
      <c r="B8" s="33" t="s">
        <v>89</v>
      </c>
      <c r="C8" s="41" t="s">
        <v>70</v>
      </c>
      <c r="D8" s="40" t="s">
        <v>71</v>
      </c>
    </row>
    <row r="9" spans="1:4" x14ac:dyDescent="0.2">
      <c r="A9" s="38" t="s">
        <v>81</v>
      </c>
      <c r="B9" s="33" t="s">
        <v>90</v>
      </c>
      <c r="C9" s="41" t="s">
        <v>60</v>
      </c>
      <c r="D9" s="40" t="s">
        <v>72</v>
      </c>
    </row>
    <row r="10" spans="1:4" ht="13.5" thickBot="1" x14ac:dyDescent="0.25">
      <c r="A10" s="42" t="s">
        <v>82</v>
      </c>
      <c r="B10" s="43" t="s">
        <v>91</v>
      </c>
      <c r="C10" s="44" t="s">
        <v>73</v>
      </c>
      <c r="D10" s="45" t="s">
        <v>74</v>
      </c>
    </row>
  </sheetData>
  <pageMargins left="0.78749999999999998" right="0.78749999999999998" top="0.78749999999999998" bottom="0.78749999999999998" header="0.49236111111111114" footer="0.49236111111111114"/>
  <pageSetup paperSize="9" firstPageNumber="0" fitToHeight="0" orientation="portrait" horizontalDpi="300" verticalDpi="300" r:id="rId1"/>
  <headerFooter alignWithMargins="0"/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D16"/>
  <sheetViews>
    <sheetView workbookViewId="0">
      <selection activeCell="E23" sqref="E23"/>
    </sheetView>
  </sheetViews>
  <sheetFormatPr defaultRowHeight="12.75" x14ac:dyDescent="0.2"/>
  <cols>
    <col min="1" max="1" width="17.85546875" style="12" bestFit="1" customWidth="1"/>
    <col min="2" max="4" width="10.7109375" style="12" bestFit="1" customWidth="1"/>
    <col min="5" max="16384" width="9.140625" style="12"/>
  </cols>
  <sheetData>
    <row r="1" spans="1:4" x14ac:dyDescent="0.2">
      <c r="A1" s="13" t="s">
        <v>20</v>
      </c>
      <c r="B1" s="14"/>
      <c r="C1" s="14"/>
      <c r="D1" s="14"/>
    </row>
    <row r="2" spans="1:4" x14ac:dyDescent="0.2">
      <c r="A2" s="15" t="s">
        <v>21</v>
      </c>
      <c r="B2" s="16" t="s">
        <v>28</v>
      </c>
      <c r="C2" s="19" t="s">
        <v>48</v>
      </c>
      <c r="D2" s="16" t="s">
        <v>29</v>
      </c>
    </row>
    <row r="3" spans="1:4" x14ac:dyDescent="0.2">
      <c r="A3" s="15" t="s">
        <v>30</v>
      </c>
      <c r="B3" s="16" t="s">
        <v>31</v>
      </c>
      <c r="C3" s="16" t="s">
        <v>49</v>
      </c>
      <c r="D3" s="16" t="s">
        <v>32</v>
      </c>
    </row>
    <row r="4" spans="1:4" x14ac:dyDescent="0.2">
      <c r="A4" s="15" t="s">
        <v>33</v>
      </c>
      <c r="B4" s="17" t="s">
        <v>34</v>
      </c>
      <c r="C4" s="18" t="s">
        <v>50</v>
      </c>
      <c r="D4" s="17" t="s">
        <v>35</v>
      </c>
    </row>
    <row r="5" spans="1:4" x14ac:dyDescent="0.2">
      <c r="A5" s="15" t="s">
        <v>36</v>
      </c>
      <c r="B5" s="16" t="s">
        <v>37</v>
      </c>
      <c r="C5" s="19" t="s">
        <v>51</v>
      </c>
      <c r="D5" s="16" t="s">
        <v>38</v>
      </c>
    </row>
    <row r="6" spans="1:4" x14ac:dyDescent="0.2">
      <c r="A6" s="15" t="s">
        <v>39</v>
      </c>
      <c r="B6" s="16"/>
      <c r="C6" s="16"/>
      <c r="D6" s="16"/>
    </row>
    <row r="7" spans="1:4" x14ac:dyDescent="0.2">
      <c r="A7" s="15" t="s">
        <v>40</v>
      </c>
      <c r="B7" s="16"/>
      <c r="C7" s="16"/>
      <c r="D7" s="16"/>
    </row>
    <row r="8" spans="1:4" x14ac:dyDescent="0.2">
      <c r="A8" s="15" t="s">
        <v>22</v>
      </c>
      <c r="B8" s="16"/>
      <c r="C8" s="16"/>
      <c r="D8" s="16"/>
    </row>
    <row r="9" spans="1:4" x14ac:dyDescent="0.2">
      <c r="A9" s="15" t="s">
        <v>23</v>
      </c>
      <c r="B9" s="18" t="s">
        <v>41</v>
      </c>
      <c r="C9" s="18" t="s">
        <v>41</v>
      </c>
      <c r="D9" s="18" t="s">
        <v>41</v>
      </c>
    </row>
    <row r="10" spans="1:4" x14ac:dyDescent="0.2">
      <c r="A10" s="15" t="s">
        <v>24</v>
      </c>
      <c r="B10" s="19" t="s">
        <v>42</v>
      </c>
      <c r="C10" s="19" t="s">
        <v>42</v>
      </c>
      <c r="D10" s="19" t="s">
        <v>42</v>
      </c>
    </row>
    <row r="11" spans="1:4" x14ac:dyDescent="0.2">
      <c r="A11" s="20" t="s">
        <v>43</v>
      </c>
      <c r="B11" s="19"/>
      <c r="C11" s="19"/>
      <c r="D11" s="19"/>
    </row>
    <row r="12" spans="1:4" ht="13.5" thickBot="1" x14ac:dyDescent="0.25">
      <c r="A12" s="21" t="s">
        <v>44</v>
      </c>
      <c r="B12" s="22"/>
      <c r="C12" s="22"/>
      <c r="D12" s="22"/>
    </row>
    <row r="13" spans="1:4" ht="13.5" thickBot="1" x14ac:dyDescent="0.25">
      <c r="A13"/>
      <c r="B13"/>
      <c r="C13"/>
      <c r="D13"/>
    </row>
    <row r="14" spans="1:4" ht="13.5" thickBot="1" x14ac:dyDescent="0.25">
      <c r="A14" s="23" t="s">
        <v>25</v>
      </c>
      <c r="B14" s="24"/>
      <c r="C14"/>
      <c r="D14"/>
    </row>
    <row r="15" spans="1:4" x14ac:dyDescent="0.2">
      <c r="A15" s="25" t="s">
        <v>26</v>
      </c>
      <c r="B15" s="26" t="s">
        <v>53</v>
      </c>
      <c r="C15"/>
      <c r="D15"/>
    </row>
    <row r="16" spans="1:4" ht="13.5" thickBot="1" x14ac:dyDescent="0.25">
      <c r="A16" s="21" t="s">
        <v>27</v>
      </c>
      <c r="B16" s="22" t="s">
        <v>54</v>
      </c>
      <c r="C16"/>
      <c r="D16"/>
    </row>
  </sheetData>
  <pageMargins left="0.7" right="0.7" top="0.75" bottom="0.75" header="0.3" footer="0.3"/>
  <pageSetup orientation="portrait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02-KickOff_Projektdefinition" ma:contentTypeID="0x010100E0F1E00ABC921D49B91AD2EB7ECB4F90008BC1EB3B7E58DF4A9C2B2BD1828C634A" ma:contentTypeVersion="5" ma:contentTypeDescription="Vorlage Projektdefinition für KickOff" ma:contentTypeScope="" ma:versionID="b68d06ee5a9722323065c73188327dc7">
  <xsd:schema xmlns:xsd="http://www.w3.org/2001/XMLSchema" xmlns:p="http://schemas.microsoft.com/office/2006/metadata/properties" targetNamespace="http://schemas.microsoft.com/office/2006/metadata/properties" ma:root="true" ma:fieldsID="6016994b643690a07d12a67a12a1b0b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9933C43A-0F95-4D31-9832-A8D043A6B8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ABE005-D355-454B-91BC-43269D24C175}">
  <ds:schemaRefs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CBE66D14-0E7C-455E-866C-DAFE8DFDEA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</vt:lpstr>
      <vt:lpstr>Data</vt:lpstr>
      <vt:lpstr>Parameter_Int</vt:lpstr>
      <vt:lpstr>SAP-Con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HMUN</dc:creator>
  <cp:lastModifiedBy>Mundprecht, Hermann (Magna Partner)</cp:lastModifiedBy>
  <cp:revision>1</cp:revision>
  <cp:lastPrinted>2003-10-02T09:05:05Z</cp:lastPrinted>
  <dcterms:created xsi:type="dcterms:W3CDTF">1998-07-09T11:40:40Z</dcterms:created>
  <dcterms:modified xsi:type="dcterms:W3CDTF">2026-06-06T15:55:50Z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-511675763</vt:i4>
  </property>
  <property fmtid="{D5CDD505-2E9C-101B-9397-08002B2CF9AE}" pid="3" name="_NewReviewCycle">
    <vt:lpwstr/>
  </property>
  <property fmtid="{D5CDD505-2E9C-101B-9397-08002B2CF9AE}" pid="4" name="_EmailSubject">
    <vt:lpwstr>KORREKTUREN für MSF_SAP_Activity_Posting_1_6 - Uploadmakro von Mundprecht.xlsm</vt:lpwstr>
  </property>
  <property fmtid="{D5CDD505-2E9C-101B-9397-08002B2CF9AE}" pid="5" name="_AuthorEmail">
    <vt:lpwstr>albert.schusteritsch@magnasteyr.com</vt:lpwstr>
  </property>
  <property fmtid="{D5CDD505-2E9C-101B-9397-08002B2CF9AE}" pid="6" name="_AuthorEmailDisplayName">
    <vt:lpwstr>Schusteritsch Albert, FC (MSF)</vt:lpwstr>
  </property>
  <property fmtid="{D5CDD505-2E9C-101B-9397-08002B2CF9AE}" pid="7" name="_PreviousAdHocReviewCycleID">
    <vt:i4>70776385</vt:i4>
  </property>
  <property fmtid="{D5CDD505-2E9C-101B-9397-08002B2CF9AE}" pid="8" name="_ReviewingToolsShownOnce">
    <vt:lpwstr/>
  </property>
  <property fmtid="{D5CDD505-2E9C-101B-9397-08002B2CF9AE}" pid="9" name="BExAnalyzer_OldName">
    <vt:lpwstr>SAP_CostPosting_Verrechnung_Nichtleistungslohn_201401-04_V3.xlsm</vt:lpwstr>
  </property>
  <property fmtid="{D5CDD505-2E9C-101B-9397-08002B2CF9AE}" pid="10" name="CustomUiType">
    <vt:lpwstr>2</vt:lpwstr>
  </property>
  <property fmtid="{D5CDD505-2E9C-101B-9397-08002B2CF9AE}" pid="11" name="MSIP_Label_e798273d-f5aa-46da-8e10-241f6dcd5f2d_Enabled">
    <vt:lpwstr>true</vt:lpwstr>
  </property>
  <property fmtid="{D5CDD505-2E9C-101B-9397-08002B2CF9AE}" pid="12" name="MSIP_Label_e798273d-f5aa-46da-8e10-241f6dcd5f2d_SetDate">
    <vt:lpwstr>2026-06-05T13:21:24Z</vt:lpwstr>
  </property>
  <property fmtid="{D5CDD505-2E9C-101B-9397-08002B2CF9AE}" pid="13" name="MSIP_Label_e798273d-f5aa-46da-8e10-241f6dcd5f2d_Method">
    <vt:lpwstr>Standard</vt:lpwstr>
  </property>
  <property fmtid="{D5CDD505-2E9C-101B-9397-08002B2CF9AE}" pid="14" name="MSIP_Label_e798273d-f5aa-46da-8e10-241f6dcd5f2d_Name">
    <vt:lpwstr>e798273d-f5aa-46da-8e10-241f6dcd5f2d</vt:lpwstr>
  </property>
  <property fmtid="{D5CDD505-2E9C-101B-9397-08002B2CF9AE}" pid="15" name="MSIP_Label_e798273d-f5aa-46da-8e10-241f6dcd5f2d_SiteId">
    <vt:lpwstr>c760270c-f3da-4cfa-9737-03808ef5579f</vt:lpwstr>
  </property>
  <property fmtid="{D5CDD505-2E9C-101B-9397-08002B2CF9AE}" pid="16" name="MSIP_Label_e798273d-f5aa-46da-8e10-241f6dcd5f2d_ActionId">
    <vt:lpwstr>198f5e6a-81bf-4c24-9bed-6bd99bf63545</vt:lpwstr>
  </property>
  <property fmtid="{D5CDD505-2E9C-101B-9397-08002B2CF9AE}" pid="17" name="MSIP_Label_e798273d-f5aa-46da-8e10-241f6dcd5f2d_ContentBits">
    <vt:lpwstr>0</vt:lpwstr>
  </property>
  <property fmtid="{D5CDD505-2E9C-101B-9397-08002B2CF9AE}" pid="18" name="MSIP_Label_e798273d-f5aa-46da-8e10-241f6dcd5f2d_Tag">
    <vt:lpwstr>10, 3, 0, 1</vt:lpwstr>
  </property>
</Properties>
</file>